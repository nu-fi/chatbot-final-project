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PORTAL SATU DATA KALBAR\"/>
    </mc:Choice>
  </mc:AlternateContent>
  <bookViews>
    <workbookView xWindow="0" yWindow="0" windowWidth="20490" windowHeight="7155"/>
  </bookViews>
  <sheets>
    <sheet name="STUNTING" sheetId="1" r:id="rId1"/>
  </sheets>
  <definedNames>
    <definedName name="_xlnm.Print_Area" localSheetId="0">STUNTING!$A$1:$L$18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1" l="1"/>
  <c r="I17" i="1"/>
  <c r="G17" i="1"/>
  <c r="E17" i="1"/>
  <c r="C17" i="1"/>
  <c r="B17" i="1" l="1"/>
  <c r="D17" i="1" s="1"/>
  <c r="L16" i="1"/>
  <c r="J16" i="1"/>
  <c r="H16" i="1"/>
  <c r="F16" i="1"/>
  <c r="L15" i="1"/>
  <c r="J15" i="1"/>
  <c r="H15" i="1"/>
  <c r="F15" i="1"/>
  <c r="D15" i="1"/>
  <c r="L14" i="1"/>
  <c r="J14" i="1"/>
  <c r="L13" i="1"/>
  <c r="J13" i="1"/>
  <c r="H13" i="1"/>
  <c r="L12" i="1"/>
  <c r="D12" i="1"/>
  <c r="J12" i="1"/>
  <c r="L11" i="1"/>
  <c r="J11" i="1"/>
  <c r="H11" i="1"/>
  <c r="F11" i="1"/>
  <c r="D11" i="1"/>
  <c r="L10" i="1"/>
  <c r="J10" i="1"/>
  <c r="H10" i="1"/>
  <c r="F10" i="1"/>
  <c r="D10" i="1"/>
  <c r="L9" i="1"/>
  <c r="J9" i="1"/>
  <c r="H9" i="1"/>
  <c r="L8" i="1"/>
  <c r="J8" i="1"/>
  <c r="H8" i="1"/>
  <c r="F8" i="1"/>
  <c r="L7" i="1"/>
  <c r="L6" i="1"/>
  <c r="J6" i="1"/>
  <c r="H6" i="1"/>
  <c r="F6" i="1"/>
  <c r="D6" i="1"/>
  <c r="L5" i="1"/>
  <c r="D5" i="1"/>
  <c r="L4" i="1"/>
  <c r="J4" i="1"/>
  <c r="H4" i="1"/>
  <c r="F4" i="1"/>
  <c r="L3" i="1"/>
  <c r="J3" i="1"/>
  <c r="H3" i="1"/>
  <c r="F3" i="1"/>
  <c r="D3" i="1"/>
  <c r="L17" i="1" l="1"/>
  <c r="F5" i="1"/>
  <c r="F17" i="1"/>
  <c r="H5" i="1"/>
  <c r="D7" i="1"/>
  <c r="F12" i="1"/>
  <c r="H17" i="1"/>
  <c r="J5" i="1"/>
  <c r="F7" i="1"/>
  <c r="H12" i="1"/>
  <c r="D14" i="1"/>
  <c r="J17" i="1"/>
  <c r="H7" i="1"/>
  <c r="D9" i="1"/>
  <c r="F14" i="1"/>
  <c r="D4" i="1"/>
  <c r="J7" i="1"/>
  <c r="F9" i="1"/>
  <c r="H14" i="1"/>
  <c r="D16" i="1"/>
  <c r="D13" i="1"/>
  <c r="D8" i="1"/>
  <c r="F13" i="1"/>
</calcChain>
</file>

<file path=xl/sharedStrings.xml><?xml version="1.0" encoding="utf-8"?>
<sst xmlns="http://schemas.openxmlformats.org/spreadsheetml/2006/main" count="27" uniqueCount="27">
  <si>
    <t>Kabupaten/Kota</t>
  </si>
  <si>
    <t>Jumlah Balita Sangat Pendek</t>
  </si>
  <si>
    <t>Jumlah Balita Pendek</t>
  </si>
  <si>
    <t>Jumlah Balita Normal</t>
  </si>
  <si>
    <t>Jumlah Balita Tinggi</t>
  </si>
  <si>
    <t>KAB. SAMBAS</t>
  </si>
  <si>
    <t>KAB. BENGKAYANG</t>
  </si>
  <si>
    <t>KAB. LANDAK</t>
  </si>
  <si>
    <t>KAB. MEMPAWAH</t>
  </si>
  <si>
    <t>KAB. SANGGAU</t>
  </si>
  <si>
    <t>KAB. KETAPANG</t>
  </si>
  <si>
    <t>KAB. SINTANG</t>
  </si>
  <si>
    <t>KAB. KAPUAS HULU</t>
  </si>
  <si>
    <t>KAB. SEKADAU</t>
  </si>
  <si>
    <t>KAB. MELAWI</t>
  </si>
  <si>
    <t>KAB. KAYONG UTARA</t>
  </si>
  <si>
    <t>KAB. KUBU RAYA</t>
  </si>
  <si>
    <t>KOTA PONTIANAK</t>
  </si>
  <si>
    <t>KOTA SINGKAWANG</t>
  </si>
  <si>
    <t>JUMLAH</t>
  </si>
  <si>
    <t>% Balita Sangat Pendek</t>
  </si>
  <si>
    <t>% Balita Pendek</t>
  </si>
  <si>
    <t>% Balita Normal</t>
  </si>
  <si>
    <t>% Balita Tinggi</t>
  </si>
  <si>
    <t>% Balita Stunting</t>
  </si>
  <si>
    <t>Jumlah Balita Diukur dan di Entry</t>
  </si>
  <si>
    <t>Jumlah Balita Stunting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</si>
</sst>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7"/>
  <sheetViews>
    <sheetView tabSelected="1" workbookViewId="0">
      <selection activeCell="B8" sqref="B8"/>
    </sheetView>
  </sheetViews>
  <sheetFormatPr defaultRowHeight="15" x14ac:dyDescent="0.25"/>
  <cols>
    <col min="1" max="1" width="25.28515625" customWidth="1"/>
    <col min="2" max="2" width="30.85546875" customWidth="1"/>
    <col min="3" max="3" width="31" customWidth="1"/>
    <col min="4" max="4" width="22.5703125" customWidth="1"/>
    <col min="5" max="5" width="20.42578125" customWidth="1"/>
    <col min="6" max="6" width="16.5703125" customWidth="1"/>
    <col min="7" max="7" width="20.42578125" customWidth="1"/>
    <col min="8" max="8" width="14.85546875" customWidth="1"/>
    <col min="9" max="9" width="20.42578125" customWidth="1"/>
    <col min="10" max="10" width="14.42578125" customWidth="1"/>
    <col min="11" max="11" width="23" customWidth="1"/>
    <col min="12" max="12" width="18.42578125" style="4" customWidth="1"/>
  </cols>
  <sheetData>
    <row r="2" spans="1:12" s="2" customFormat="1" ht="30" customHeight="1" x14ac:dyDescent="0.25">
      <c r="A2" s="1" t="s">
        <v>0</v>
      </c>
      <c r="B2" s="1" t="s">
        <v>25</v>
      </c>
      <c r="C2" s="1" t="s">
        <v>1</v>
      </c>
      <c r="D2" s="1" t="s">
        <v>20</v>
      </c>
      <c r="E2" s="1" t="s">
        <v>2</v>
      </c>
      <c r="F2" s="1" t="s">
        <v>21</v>
      </c>
      <c r="G2" s="1" t="s">
        <v>3</v>
      </c>
      <c r="H2" s="1" t="s">
        <v>22</v>
      </c>
      <c r="I2" s="1" t="s">
        <v>4</v>
      </c>
      <c r="J2" s="1" t="s">
        <v>23</v>
      </c>
      <c r="K2" s="1" t="s">
        <v>26</v>
      </c>
      <c r="L2" s="1" t="s">
        <v>24</v>
      </c>
    </row>
    <row r="3" spans="1:12" s="5" customFormat="1" ht="26.25" customHeight="1" x14ac:dyDescent="0.25">
      <c r="A3" s="6" t="s">
        <v>5</v>
      </c>
      <c r="B3" s="7">
        <v>35340</v>
      </c>
      <c r="C3" s="8">
        <v>1413</v>
      </c>
      <c r="D3" s="9">
        <f t="shared" ref="D3:D17" si="0">C3/B3*100</f>
        <v>3.9983022071307301</v>
      </c>
      <c r="E3" s="8">
        <v>4087</v>
      </c>
      <c r="F3" s="9">
        <f t="shared" ref="F3:F17" si="1">E3/B3*100</f>
        <v>11.56479909451047</v>
      </c>
      <c r="G3" s="8">
        <v>29769</v>
      </c>
      <c r="H3" s="9">
        <f t="shared" ref="H3:H17" si="2">G3/B3*100</f>
        <v>84.235993208828518</v>
      </c>
      <c r="I3" s="8">
        <v>71</v>
      </c>
      <c r="J3" s="9">
        <f t="shared" ref="J3:J17" si="3">I3/B3*100</f>
        <v>0.20090548953027731</v>
      </c>
      <c r="K3" s="7">
        <v>5500</v>
      </c>
      <c r="L3" s="10">
        <f t="shared" ref="L3:L17" si="4">K3/B3*100</f>
        <v>15.563101301641199</v>
      </c>
    </row>
    <row r="4" spans="1:12" s="5" customFormat="1" ht="27" customHeight="1" x14ac:dyDescent="0.25">
      <c r="A4" s="6" t="s">
        <v>6</v>
      </c>
      <c r="B4" s="7">
        <v>15747</v>
      </c>
      <c r="C4" s="8">
        <v>1374</v>
      </c>
      <c r="D4" s="9">
        <f t="shared" si="0"/>
        <v>8.7254715183844542</v>
      </c>
      <c r="E4" s="8">
        <v>3024</v>
      </c>
      <c r="F4" s="9">
        <f t="shared" si="1"/>
        <v>19.203657839588491</v>
      </c>
      <c r="G4" s="8">
        <v>11205</v>
      </c>
      <c r="H4" s="9">
        <f t="shared" si="2"/>
        <v>71.156410744903781</v>
      </c>
      <c r="I4" s="8">
        <v>144</v>
      </c>
      <c r="J4" s="9">
        <f t="shared" si="3"/>
        <v>0.91445989712326159</v>
      </c>
      <c r="K4" s="7">
        <v>4398</v>
      </c>
      <c r="L4" s="10">
        <f t="shared" si="4"/>
        <v>27.929129357972947</v>
      </c>
    </row>
    <row r="5" spans="1:12" s="5" customFormat="1" ht="22.5" customHeight="1" x14ac:dyDescent="0.25">
      <c r="A5" s="6" t="s">
        <v>7</v>
      </c>
      <c r="B5" s="7">
        <v>20626</v>
      </c>
      <c r="C5" s="8">
        <v>1226</v>
      </c>
      <c r="D5" s="9">
        <f t="shared" si="0"/>
        <v>5.94395423252206</v>
      </c>
      <c r="E5" s="8">
        <v>3384</v>
      </c>
      <c r="F5" s="9">
        <f t="shared" si="1"/>
        <v>16.406477261708524</v>
      </c>
      <c r="G5" s="8">
        <v>15877</v>
      </c>
      <c r="H5" s="9">
        <f t="shared" si="2"/>
        <v>76.975661786095216</v>
      </c>
      <c r="I5" s="8">
        <v>139</v>
      </c>
      <c r="J5" s="9">
        <f t="shared" si="3"/>
        <v>0.67390671967419769</v>
      </c>
      <c r="K5" s="7">
        <v>4610</v>
      </c>
      <c r="L5" s="10">
        <f t="shared" si="4"/>
        <v>22.350431494230584</v>
      </c>
    </row>
    <row r="6" spans="1:12" s="5" customFormat="1" ht="23.25" customHeight="1" x14ac:dyDescent="0.25">
      <c r="A6" s="6" t="s">
        <v>8</v>
      </c>
      <c r="B6" s="7">
        <v>17578</v>
      </c>
      <c r="C6" s="8">
        <v>347</v>
      </c>
      <c r="D6" s="9">
        <f t="shared" si="0"/>
        <v>1.9740584821936511</v>
      </c>
      <c r="E6" s="8">
        <v>1431</v>
      </c>
      <c r="F6" s="9">
        <f t="shared" si="1"/>
        <v>8.1408578905449982</v>
      </c>
      <c r="G6" s="8">
        <v>15767</v>
      </c>
      <c r="H6" s="9">
        <f t="shared" si="2"/>
        <v>89.697348958925929</v>
      </c>
      <c r="I6" s="8">
        <v>33</v>
      </c>
      <c r="J6" s="9">
        <f t="shared" si="3"/>
        <v>0.18773466833541927</v>
      </c>
      <c r="K6" s="7">
        <v>1778</v>
      </c>
      <c r="L6" s="10">
        <f t="shared" si="4"/>
        <v>10.114916372738652</v>
      </c>
    </row>
    <row r="7" spans="1:12" s="5" customFormat="1" ht="24" customHeight="1" x14ac:dyDescent="0.25">
      <c r="A7" s="6" t="s">
        <v>9</v>
      </c>
      <c r="B7" s="7">
        <v>20958</v>
      </c>
      <c r="C7" s="8">
        <v>1141</v>
      </c>
      <c r="D7" s="9">
        <f t="shared" si="0"/>
        <v>5.4442217768871073</v>
      </c>
      <c r="E7" s="8">
        <v>3271</v>
      </c>
      <c r="F7" s="9">
        <f t="shared" si="1"/>
        <v>15.607405286764003</v>
      </c>
      <c r="G7" s="8">
        <v>16358</v>
      </c>
      <c r="H7" s="9">
        <f t="shared" si="2"/>
        <v>78.051340776791676</v>
      </c>
      <c r="I7" s="8">
        <v>188</v>
      </c>
      <c r="J7" s="9">
        <f t="shared" si="3"/>
        <v>0.89703215955720972</v>
      </c>
      <c r="K7" s="7">
        <v>4412</v>
      </c>
      <c r="L7" s="10">
        <f t="shared" si="4"/>
        <v>21.051627063651111</v>
      </c>
    </row>
    <row r="8" spans="1:12" s="5" customFormat="1" ht="24.75" customHeight="1" x14ac:dyDescent="0.25">
      <c r="A8" s="6" t="s">
        <v>10</v>
      </c>
      <c r="B8" s="7">
        <v>17186</v>
      </c>
      <c r="C8" s="8">
        <v>797</v>
      </c>
      <c r="D8" s="9">
        <f t="shared" si="0"/>
        <v>4.637495635982777</v>
      </c>
      <c r="E8" s="8">
        <v>2042</v>
      </c>
      <c r="F8" s="9">
        <f t="shared" si="1"/>
        <v>11.881764226696149</v>
      </c>
      <c r="G8" s="8">
        <v>14241</v>
      </c>
      <c r="H8" s="9">
        <f t="shared" si="2"/>
        <v>82.863959036425001</v>
      </c>
      <c r="I8" s="8">
        <v>106</v>
      </c>
      <c r="J8" s="9">
        <f t="shared" si="3"/>
        <v>0.61678110089607818</v>
      </c>
      <c r="K8" s="7">
        <v>2839</v>
      </c>
      <c r="L8" s="10">
        <f t="shared" si="4"/>
        <v>16.519259862678926</v>
      </c>
    </row>
    <row r="9" spans="1:12" s="5" customFormat="1" ht="21.75" customHeight="1" x14ac:dyDescent="0.25">
      <c r="A9" s="6" t="s">
        <v>11</v>
      </c>
      <c r="B9" s="7">
        <v>19658</v>
      </c>
      <c r="C9" s="8">
        <v>1699</v>
      </c>
      <c r="D9" s="9">
        <f t="shared" si="0"/>
        <v>8.6427917387323223</v>
      </c>
      <c r="E9" s="8">
        <v>3963</v>
      </c>
      <c r="F9" s="9">
        <f t="shared" si="1"/>
        <v>20.15973140706074</v>
      </c>
      <c r="G9" s="8">
        <v>13814</v>
      </c>
      <c r="H9" s="9">
        <f t="shared" si="2"/>
        <v>70.271645131752976</v>
      </c>
      <c r="I9" s="8">
        <v>182</v>
      </c>
      <c r="J9" s="9">
        <f t="shared" si="3"/>
        <v>0.92583172245396284</v>
      </c>
      <c r="K9" s="7">
        <v>5662</v>
      </c>
      <c r="L9" s="10">
        <f t="shared" si="4"/>
        <v>28.802523145793064</v>
      </c>
    </row>
    <row r="10" spans="1:12" s="5" customFormat="1" ht="23.25" customHeight="1" x14ac:dyDescent="0.25">
      <c r="A10" s="6" t="s">
        <v>12</v>
      </c>
      <c r="B10" s="7">
        <v>14871</v>
      </c>
      <c r="C10" s="8">
        <v>1373</v>
      </c>
      <c r="D10" s="9">
        <f t="shared" si="0"/>
        <v>9.2327348530697328</v>
      </c>
      <c r="E10" s="8">
        <v>3519</v>
      </c>
      <c r="F10" s="9">
        <f t="shared" si="1"/>
        <v>23.663506152915069</v>
      </c>
      <c r="G10" s="8">
        <v>9924</v>
      </c>
      <c r="H10" s="9">
        <f t="shared" si="2"/>
        <v>66.733911640104907</v>
      </c>
      <c r="I10" s="8">
        <v>55</v>
      </c>
      <c r="J10" s="9">
        <f t="shared" si="3"/>
        <v>0.36984735391029522</v>
      </c>
      <c r="K10" s="7">
        <v>4892</v>
      </c>
      <c r="L10" s="10">
        <f t="shared" si="4"/>
        <v>32.896241005984805</v>
      </c>
    </row>
    <row r="11" spans="1:12" s="5" customFormat="1" ht="22.5" customHeight="1" x14ac:dyDescent="0.25">
      <c r="A11" s="6" t="s">
        <v>13</v>
      </c>
      <c r="B11" s="7">
        <v>11831</v>
      </c>
      <c r="C11" s="8">
        <v>1004</v>
      </c>
      <c r="D11" s="9">
        <f t="shared" si="0"/>
        <v>8.4861803735947934</v>
      </c>
      <c r="E11" s="8">
        <v>2125</v>
      </c>
      <c r="F11" s="9">
        <f t="shared" si="1"/>
        <v>17.961288141323642</v>
      </c>
      <c r="G11" s="8">
        <v>8553</v>
      </c>
      <c r="H11" s="9">
        <f t="shared" si="2"/>
        <v>72.293128222466407</v>
      </c>
      <c r="I11" s="8">
        <v>149</v>
      </c>
      <c r="J11" s="9">
        <f t="shared" si="3"/>
        <v>1.2594032626151637</v>
      </c>
      <c r="K11" s="7">
        <v>3129</v>
      </c>
      <c r="L11" s="10">
        <f t="shared" si="4"/>
        <v>26.44746851491843</v>
      </c>
    </row>
    <row r="12" spans="1:12" s="5" customFormat="1" ht="23.25" customHeight="1" x14ac:dyDescent="0.25">
      <c r="A12" s="6" t="s">
        <v>14</v>
      </c>
      <c r="B12" s="7">
        <v>8830</v>
      </c>
      <c r="C12" s="8">
        <v>867</v>
      </c>
      <c r="D12" s="9">
        <f t="shared" si="0"/>
        <v>9.8187995469988678</v>
      </c>
      <c r="E12" s="8">
        <v>1787</v>
      </c>
      <c r="F12" s="9">
        <f t="shared" si="1"/>
        <v>20.237825594563986</v>
      </c>
      <c r="G12" s="8">
        <v>6031</v>
      </c>
      <c r="H12" s="9">
        <f t="shared" si="2"/>
        <v>68.301245753114387</v>
      </c>
      <c r="I12" s="8">
        <v>145</v>
      </c>
      <c r="J12" s="9">
        <f t="shared" si="3"/>
        <v>1.6421291053227631</v>
      </c>
      <c r="K12" s="7">
        <v>2654</v>
      </c>
      <c r="L12" s="10">
        <f t="shared" si="4"/>
        <v>30.056625141562854</v>
      </c>
    </row>
    <row r="13" spans="1:12" s="5" customFormat="1" ht="24.75" customHeight="1" x14ac:dyDescent="0.25">
      <c r="A13" s="6" t="s">
        <v>15</v>
      </c>
      <c r="B13" s="7">
        <v>5648</v>
      </c>
      <c r="C13" s="8">
        <v>229</v>
      </c>
      <c r="D13" s="9">
        <f t="shared" si="0"/>
        <v>4.0545325779036832</v>
      </c>
      <c r="E13" s="8">
        <v>656</v>
      </c>
      <c r="F13" s="9">
        <f t="shared" si="1"/>
        <v>11.614730878186968</v>
      </c>
      <c r="G13" s="8">
        <v>4712</v>
      </c>
      <c r="H13" s="9">
        <f t="shared" si="2"/>
        <v>83.427762039660053</v>
      </c>
      <c r="I13" s="8">
        <v>51</v>
      </c>
      <c r="J13" s="9">
        <f t="shared" si="3"/>
        <v>0.90297450424929182</v>
      </c>
      <c r="K13" s="7">
        <v>885</v>
      </c>
      <c r="L13" s="10">
        <f t="shared" si="4"/>
        <v>15.669263456090651</v>
      </c>
    </row>
    <row r="14" spans="1:12" s="5" customFormat="1" ht="24" customHeight="1" x14ac:dyDescent="0.25">
      <c r="A14" s="6" t="s">
        <v>16</v>
      </c>
      <c r="B14" s="7">
        <v>32433</v>
      </c>
      <c r="C14" s="8">
        <v>824</v>
      </c>
      <c r="D14" s="9">
        <f t="shared" si="0"/>
        <v>2.5406222057780656</v>
      </c>
      <c r="E14" s="8">
        <v>1730</v>
      </c>
      <c r="F14" s="9">
        <f t="shared" si="1"/>
        <v>5.3340733203835606</v>
      </c>
      <c r="G14" s="8">
        <v>29505</v>
      </c>
      <c r="H14" s="9">
        <f t="shared" si="2"/>
        <v>90.972157987235221</v>
      </c>
      <c r="I14" s="8">
        <v>374</v>
      </c>
      <c r="J14" s="9">
        <f t="shared" si="3"/>
        <v>1.1531464866031511</v>
      </c>
      <c r="K14" s="7">
        <v>2554</v>
      </c>
      <c r="L14" s="10">
        <f t="shared" si="4"/>
        <v>7.8746955261616254</v>
      </c>
    </row>
    <row r="15" spans="1:12" s="5" customFormat="1" ht="21.75" customHeight="1" x14ac:dyDescent="0.25">
      <c r="A15" s="6" t="s">
        <v>17</v>
      </c>
      <c r="B15" s="7">
        <v>33461</v>
      </c>
      <c r="C15" s="8">
        <v>479</v>
      </c>
      <c r="D15" s="9">
        <f t="shared" si="0"/>
        <v>1.4315172887839573</v>
      </c>
      <c r="E15" s="8">
        <v>1605</v>
      </c>
      <c r="F15" s="9">
        <f t="shared" si="1"/>
        <v>4.7966289112698366</v>
      </c>
      <c r="G15" s="8">
        <v>30995</v>
      </c>
      <c r="H15" s="9">
        <f t="shared" si="2"/>
        <v>92.63022623352559</v>
      </c>
      <c r="I15" s="8">
        <v>382</v>
      </c>
      <c r="J15" s="9">
        <f t="shared" si="3"/>
        <v>1.141627566420609</v>
      </c>
      <c r="K15" s="7">
        <v>2084</v>
      </c>
      <c r="L15" s="10">
        <f t="shared" si="4"/>
        <v>6.2281462000537937</v>
      </c>
    </row>
    <row r="16" spans="1:12" s="5" customFormat="1" ht="26.25" customHeight="1" x14ac:dyDescent="0.25">
      <c r="A16" s="6" t="s">
        <v>18</v>
      </c>
      <c r="B16" s="7">
        <v>4386</v>
      </c>
      <c r="C16" s="8">
        <v>111</v>
      </c>
      <c r="D16" s="9">
        <f t="shared" si="0"/>
        <v>2.5307797537619701</v>
      </c>
      <c r="E16" s="8">
        <v>384</v>
      </c>
      <c r="F16" s="9">
        <f t="shared" si="1"/>
        <v>8.7551299589603282</v>
      </c>
      <c r="G16" s="8">
        <v>3876</v>
      </c>
      <c r="H16" s="9">
        <f t="shared" si="2"/>
        <v>88.372093023255815</v>
      </c>
      <c r="I16" s="8">
        <v>15</v>
      </c>
      <c r="J16" s="9">
        <f t="shared" si="3"/>
        <v>0.34199726402188779</v>
      </c>
      <c r="K16" s="7">
        <v>495</v>
      </c>
      <c r="L16" s="10">
        <f t="shared" si="4"/>
        <v>11.285909712722299</v>
      </c>
    </row>
    <row r="17" spans="1:12" s="3" customFormat="1" ht="29.25" customHeight="1" x14ac:dyDescent="0.25">
      <c r="A17" s="1" t="s">
        <v>19</v>
      </c>
      <c r="B17" s="11">
        <f t="shared" ref="B17" si="5">C17+E17+G17+I17</f>
        <v>258553</v>
      </c>
      <c r="C17" s="12">
        <f>SUM(C3:C16)</f>
        <v>12884</v>
      </c>
      <c r="D17" s="10">
        <f t="shared" si="0"/>
        <v>4.9831175813082806</v>
      </c>
      <c r="E17" s="12">
        <f>SUM(E3:E16)</f>
        <v>33008</v>
      </c>
      <c r="F17" s="10">
        <f t="shared" si="1"/>
        <v>12.766434734851268</v>
      </c>
      <c r="G17" s="12">
        <f>SUM(G3:G16)</f>
        <v>210627</v>
      </c>
      <c r="H17" s="10">
        <f t="shared" si="2"/>
        <v>81.463761781917057</v>
      </c>
      <c r="I17" s="12">
        <f>SUM(I3:I16)</f>
        <v>2034</v>
      </c>
      <c r="J17" s="10">
        <f t="shared" si="3"/>
        <v>0.78668590192339671</v>
      </c>
      <c r="K17" s="12">
        <f>SUM(K3:K16)</f>
        <v>45892</v>
      </c>
      <c r="L17" s="10">
        <f t="shared" si="4"/>
        <v>17.749552316159551</v>
      </c>
    </row>
  </sheetData>
  <pageMargins left="0.70866141732283472" right="0.70866141732283472" top="0.74803149606299213" bottom="0.74803149606299213" header="0.31496062992125984" footer="0.31496062992125984"/>
  <pageSetup paperSize="9" scale="8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STUNTING</vt:lpstr>
      <vt:lpstr>STUNTING!Print_Area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2021-12-17T07:27:51Z</dcterms:created>
  <dcterms:modified xsi:type="dcterms:W3CDTF">2022-09-21T06:03:33Z</dcterms:modified>
</cp:coreProperties>
</file>